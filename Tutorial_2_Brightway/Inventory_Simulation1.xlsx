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kueng\PycharmProjects\PythonProject\E2DT2025\Jupyter Files\"/>
    </mc:Choice>
  </mc:AlternateContent>
  <xr:revisionPtr revIDLastSave="0" documentId="13_ncr:1_{AD759950-84F8-4D8D-A02B-3FA57A03C5C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cenario_1_base c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1" i="1" l="1"/>
  <c r="F41" i="1" l="1"/>
  <c r="L50" i="1" l="1"/>
  <c r="J57" i="1" l="1"/>
  <c r="G12" i="1"/>
  <c r="L52" i="1"/>
</calcChain>
</file>

<file path=xl/sharedStrings.xml><?xml version="1.0" encoding="utf-8"?>
<sst xmlns="http://schemas.openxmlformats.org/spreadsheetml/2006/main" count="140" uniqueCount="87">
  <si>
    <t>All data is for 95% capture</t>
  </si>
  <si>
    <t>INVENTORY DATA FOR CARBON CAPTURE PROCESS</t>
  </si>
  <si>
    <t>Process Parameters</t>
  </si>
  <si>
    <t>Unit operation</t>
  </si>
  <si>
    <t>Absorber / Desorber</t>
  </si>
  <si>
    <t>Stream</t>
  </si>
  <si>
    <t>Solvent flow rate (LEANMEA)</t>
  </si>
  <si>
    <t>Solvent MEA concentration (LEANMEA)</t>
  </si>
  <si>
    <t>Unit</t>
  </si>
  <si>
    <t>kg/hr</t>
  </si>
  <si>
    <t>wt%</t>
  </si>
  <si>
    <t>Material Flow (Foreground System)</t>
  </si>
  <si>
    <t>IN/OUT</t>
  </si>
  <si>
    <t>Output from technosphere</t>
  </si>
  <si>
    <t>Input from technosphere</t>
  </si>
  <si>
    <t>Emission to air</t>
  </si>
  <si>
    <t>Desorber</t>
  </si>
  <si>
    <t>Absorber</t>
  </si>
  <si>
    <t>CO2-OUT</t>
  </si>
  <si>
    <t>FLUEGAS</t>
  </si>
  <si>
    <t>MAKEUP</t>
  </si>
  <si>
    <t>FLUEOFF</t>
  </si>
  <si>
    <t>Wash water</t>
  </si>
  <si>
    <t>Parameter</t>
  </si>
  <si>
    <t>CO2 captured</t>
  </si>
  <si>
    <t>Total flow rate</t>
  </si>
  <si>
    <t>CO2</t>
  </si>
  <si>
    <t>N2</t>
  </si>
  <si>
    <t>O2</t>
  </si>
  <si>
    <t>H2O</t>
  </si>
  <si>
    <t>Water</t>
  </si>
  <si>
    <t>Amine</t>
  </si>
  <si>
    <t>MEA</t>
  </si>
  <si>
    <t>In (WASHWAT)</t>
  </si>
  <si>
    <t>Out (WATOUT)</t>
  </si>
  <si>
    <t>Out MEA (WATOUT)</t>
  </si>
  <si>
    <t>kg/h</t>
  </si>
  <si>
    <t>m³/h</t>
  </si>
  <si>
    <t>Natural Resources (Background System)</t>
  </si>
  <si>
    <t>COOLER</t>
  </si>
  <si>
    <t>COND</t>
  </si>
  <si>
    <t>Cooling water</t>
  </si>
  <si>
    <t>Energy Flow (Background)</t>
  </si>
  <si>
    <t>Reboiler</t>
  </si>
  <si>
    <t>-</t>
  </si>
  <si>
    <t>Pumps (~ 1 kW)</t>
  </si>
  <si>
    <t>Steam</t>
  </si>
  <si>
    <t>Total electricity</t>
  </si>
  <si>
    <t>Electricity</t>
  </si>
  <si>
    <t>MJ / ton CO2</t>
  </si>
  <si>
    <t>kWh</t>
  </si>
  <si>
    <t>Infrastructure</t>
  </si>
  <si>
    <t>Following specifications do not change for a scenario:</t>
  </si>
  <si>
    <t>Value</t>
  </si>
  <si>
    <t>unit</t>
  </si>
  <si>
    <t>Absorber / Desorber Tower</t>
  </si>
  <si>
    <t>Absorber Tower Material</t>
  </si>
  <si>
    <t>Desorber Tower Material</t>
  </si>
  <si>
    <t>Sub-element</t>
  </si>
  <si>
    <t>Packing Type</t>
  </si>
  <si>
    <t>Column</t>
  </si>
  <si>
    <t>Packing</t>
  </si>
  <si>
    <t>kg</t>
  </si>
  <si>
    <t>Mellapak 250Y</t>
  </si>
  <si>
    <t>50000</t>
  </si>
  <si>
    <t>38000</t>
  </si>
  <si>
    <t>years of plant operation</t>
  </si>
  <si>
    <t>y</t>
  </si>
  <si>
    <t>hours of operation per year</t>
  </si>
  <si>
    <t>h/y</t>
  </si>
  <si>
    <t>total hours of plant operation</t>
  </si>
  <si>
    <t xml:space="preserve">h </t>
  </si>
  <si>
    <t>Functional Unit</t>
  </si>
  <si>
    <t>kg CO2</t>
  </si>
  <si>
    <t>Plant normalisation</t>
  </si>
  <si>
    <t>unit/kg CO2</t>
  </si>
  <si>
    <t>Run</t>
  </si>
  <si>
    <t>MEA production normalistation</t>
  </si>
  <si>
    <t>kJ/ton CO2</t>
  </si>
  <si>
    <t>kW</t>
  </si>
  <si>
    <t>2327.55259</t>
  </si>
  <si>
    <t>1745.66444</t>
  </si>
  <si>
    <t>Reboiler
(gas boiler)</t>
  </si>
  <si>
    <t>Condenser
(same as cooler)</t>
  </si>
  <si>
    <t>Cooler
(heat exchanger 150m)</t>
  </si>
  <si>
    <t>Pumps
(1kW)</t>
  </si>
  <si>
    <t>Air compressor
(50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</si>
</sst>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6" formatCode="0.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C6EFCE"/>
      </patternFill>
    </fill>
    <fill>
      <patternFill patternType="solid">
        <fgColor theme="9" tint="0.79998168889431442"/>
        <bgColor indexed="64"/>
      </patternFill>
    </fill>
  </fills>
  <borders count="4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7" fillId="8" borderId="0" applyNumberFormat="0" applyBorder="0" applyAlignment="0" applyProtection="0"/>
  </cellStyleXfs>
  <cellXfs count="120">
    <xf numFmtId="0" fontId="0" fillId="0" borderId="0" xfId="0"/>
    <xf numFmtId="0" fontId="2" fillId="0" borderId="0" xfId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2" xfId="0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1" fillId="0" borderId="0" xfId="0" applyFont="1"/>
    <xf numFmtId="0" fontId="5" fillId="0" borderId="0" xfId="2" applyFont="1" applyAlignment="1">
      <alignment vertical="center"/>
    </xf>
    <xf numFmtId="0" fontId="5" fillId="0" borderId="0" xfId="1" applyFont="1" applyAlignment="1">
      <alignment vertical="center"/>
    </xf>
    <xf numFmtId="0" fontId="2" fillId="0" borderId="0" xfId="2"/>
    <xf numFmtId="0" fontId="0" fillId="0" borderId="0" xfId="0" applyAlignment="1">
      <alignment horizontal="center"/>
    </xf>
    <xf numFmtId="0" fontId="0" fillId="0" borderId="12" xfId="0" applyBorder="1"/>
    <xf numFmtId="0" fontId="3" fillId="2" borderId="17" xfId="1" applyFont="1" applyFill="1" applyBorder="1" applyAlignment="1">
      <alignment vertical="center"/>
    </xf>
    <xf numFmtId="0" fontId="3" fillId="2" borderId="20" xfId="1" applyFont="1" applyFill="1" applyBorder="1" applyAlignment="1">
      <alignment vertical="center"/>
    </xf>
    <xf numFmtId="0" fontId="3" fillId="2" borderId="21" xfId="1" applyFont="1" applyFill="1" applyBorder="1" applyAlignment="1">
      <alignment vertical="center"/>
    </xf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4" borderId="18" xfId="0" applyFill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2" xfId="0" applyBorder="1" applyAlignment="1">
      <alignment vertical="center"/>
    </xf>
    <xf numFmtId="2" fontId="0" fillId="0" borderId="0" xfId="0" applyNumberFormat="1" applyAlignment="1">
      <alignment horizontal="center"/>
    </xf>
    <xf numFmtId="0" fontId="0" fillId="7" borderId="18" xfId="0" applyFill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0" fillId="0" borderId="29" xfId="0" applyBorder="1"/>
    <xf numFmtId="0" fontId="0" fillId="0" borderId="18" xfId="0" applyBorder="1"/>
    <xf numFmtId="0" fontId="0" fillId="0" borderId="18" xfId="0" applyBorder="1" applyAlignment="1">
      <alignment horizontal="right"/>
    </xf>
    <xf numFmtId="0" fontId="0" fillId="0" borderId="30" xfId="0" applyBorder="1"/>
    <xf numFmtId="0" fontId="0" fillId="0" borderId="31" xfId="0" applyBorder="1"/>
    <xf numFmtId="0" fontId="0" fillId="0" borderId="12" xfId="0" applyBorder="1" applyAlignment="1">
      <alignment horizontal="right"/>
    </xf>
    <xf numFmtId="0" fontId="0" fillId="0" borderId="25" xfId="0" applyBorder="1"/>
    <xf numFmtId="0" fontId="7" fillId="8" borderId="32" xfId="3" applyBorder="1"/>
    <xf numFmtId="0" fontId="7" fillId="8" borderId="22" xfId="3" applyBorder="1"/>
    <xf numFmtId="0" fontId="0" fillId="0" borderId="22" xfId="0" applyBorder="1" applyAlignment="1">
      <alignment horizontal="right"/>
    </xf>
    <xf numFmtId="0" fontId="0" fillId="0" borderId="26" xfId="0" applyBorder="1"/>
    <xf numFmtId="0" fontId="3" fillId="0" borderId="0" xfId="1" applyFont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5" xfId="0" applyBorder="1"/>
    <xf numFmtId="0" fontId="0" fillId="9" borderId="15" xfId="0" applyFill="1" applyBorder="1"/>
    <xf numFmtId="0" fontId="1" fillId="0" borderId="36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17" xfId="0" applyBorder="1"/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16" xfId="1" applyFont="1" applyFill="1" applyBorder="1" applyAlignment="1">
      <alignment horizontal="center" vertical="center"/>
    </xf>
    <xf numFmtId="0" fontId="0" fillId="0" borderId="9" xfId="0" applyBorder="1"/>
    <xf numFmtId="0" fontId="3" fillId="2" borderId="5" xfId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 textRotation="90"/>
    </xf>
    <xf numFmtId="0" fontId="1" fillId="6" borderId="15" xfId="0" applyFont="1" applyFill="1" applyBorder="1" applyAlignment="1">
      <alignment horizontal="center" vertical="center"/>
    </xf>
    <xf numFmtId="2" fontId="0" fillId="0" borderId="37" xfId="0" applyNumberFormat="1" applyBorder="1" applyAlignment="1">
      <alignment horizontal="center"/>
    </xf>
    <xf numFmtId="2" fontId="0" fillId="4" borderId="37" xfId="0" applyNumberFormat="1" applyFill="1" applyBorder="1" applyAlignment="1">
      <alignment horizontal="center"/>
    </xf>
    <xf numFmtId="2" fontId="0" fillId="4" borderId="39" xfId="0" applyNumberFormat="1" applyFill="1" applyBorder="1" applyAlignment="1">
      <alignment horizontal="center"/>
    </xf>
    <xf numFmtId="2" fontId="0" fillId="4" borderId="38" xfId="0" applyNumberFormat="1" applyFill="1" applyBorder="1" applyAlignment="1">
      <alignment horizontal="center"/>
    </xf>
    <xf numFmtId="0" fontId="1" fillId="6" borderId="37" xfId="0" applyFont="1" applyFill="1" applyBorder="1" applyAlignment="1">
      <alignment horizontal="center" vertical="center"/>
    </xf>
    <xf numFmtId="164" fontId="0" fillId="4" borderId="39" xfId="0" applyNumberFormat="1" applyFill="1" applyBorder="1" applyAlignment="1">
      <alignment horizontal="center"/>
    </xf>
    <xf numFmtId="0" fontId="0" fillId="0" borderId="37" xfId="0" applyBorder="1"/>
    <xf numFmtId="0" fontId="0" fillId="0" borderId="38" xfId="0" applyBorder="1" applyAlignment="1">
      <alignment horizontal="center"/>
    </xf>
    <xf numFmtId="2" fontId="0" fillId="0" borderId="38" xfId="0" applyNumberFormat="1" applyBorder="1" applyAlignment="1">
      <alignment horizontal="center"/>
    </xf>
    <xf numFmtId="2" fontId="0" fillId="0" borderId="39" xfId="0" applyNumberFormat="1" applyBorder="1" applyAlignment="1">
      <alignment horizontal="center"/>
    </xf>
    <xf numFmtId="0" fontId="5" fillId="3" borderId="15" xfId="1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4" borderId="18" xfId="0" applyFill="1" applyBorder="1" applyAlignment="1">
      <alignment horizontal="center" vertical="center"/>
    </xf>
    <xf numFmtId="0" fontId="0" fillId="0" borderId="19" xfId="0" applyBorder="1"/>
    <xf numFmtId="0" fontId="0" fillId="0" borderId="24" xfId="0" applyBorder="1"/>
    <xf numFmtId="1" fontId="0" fillId="0" borderId="38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0" fillId="5" borderId="18" xfId="0" applyFill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0" fillId="0" borderId="33" xfId="0" applyBorder="1"/>
    <xf numFmtId="0" fontId="5" fillId="3" borderId="15" xfId="2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1" fillId="0" borderId="12" xfId="0" applyFont="1" applyBorder="1" applyAlignment="1">
      <alignment horizontal="center" vertical="center"/>
    </xf>
    <xf numFmtId="0" fontId="0" fillId="4" borderId="35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0" fontId="3" fillId="2" borderId="8" xfId="1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4" fillId="3" borderId="15" xfId="1" applyFont="1" applyFill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0" xfId="0" applyBorder="1" applyAlignment="1">
      <alignment horizontal="center"/>
    </xf>
    <xf numFmtId="0" fontId="6" fillId="6" borderId="0" xfId="0" applyFont="1" applyFill="1" applyBorder="1" applyAlignment="1">
      <alignment horizontal="center" vertical="center" textRotation="90"/>
    </xf>
    <xf numFmtId="0" fontId="1" fillId="6" borderId="41" xfId="0" applyFont="1" applyFill="1" applyBorder="1" applyAlignment="1">
      <alignment horizontal="center" vertical="center"/>
    </xf>
    <xf numFmtId="2" fontId="0" fillId="7" borderId="42" xfId="0" applyNumberFormat="1" applyFill="1" applyBorder="1" applyAlignment="1">
      <alignment horizontal="center"/>
    </xf>
    <xf numFmtId="2" fontId="0" fillId="4" borderId="42" xfId="0" applyNumberFormat="1" applyFill="1" applyBorder="1" applyAlignment="1">
      <alignment horizontal="center"/>
    </xf>
    <xf numFmtId="166" fontId="0" fillId="4" borderId="42" xfId="0" applyNumberFormat="1" applyFill="1" applyBorder="1" applyAlignment="1">
      <alignment horizontal="center"/>
    </xf>
    <xf numFmtId="2" fontId="0" fillId="5" borderId="42" xfId="0" applyNumberFormat="1" applyFill="1" applyBorder="1" applyAlignment="1">
      <alignment horizontal="center"/>
    </xf>
    <xf numFmtId="165" fontId="0" fillId="5" borderId="42" xfId="0" applyNumberFormat="1" applyFill="1" applyBorder="1" applyAlignment="1">
      <alignment horizontal="center"/>
    </xf>
    <xf numFmtId="0" fontId="1" fillId="4" borderId="42" xfId="0" applyFont="1" applyFill="1" applyBorder="1" applyAlignment="1">
      <alignment vertical="center"/>
    </xf>
    <xf numFmtId="0" fontId="0" fillId="5" borderId="42" xfId="0" applyFill="1" applyBorder="1" applyAlignment="1">
      <alignment horizontal="center"/>
    </xf>
    <xf numFmtId="0" fontId="0" fillId="5" borderId="43" xfId="0" applyFill="1" applyBorder="1" applyAlignment="1">
      <alignment horizontal="center"/>
    </xf>
  </cellXfs>
  <cellStyles count="4">
    <cellStyle name="Gut" xfId="3" builtinId="26"/>
    <cellStyle name="Normal 2 2 2" xfId="2" xr:uid="{00000000-0005-0000-0000-000002000000}"/>
    <cellStyle name="Normal 5" xfId="1" xr:uid="{00000000-0005-0000-0000-000001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185827</xdr:colOff>
      <xdr:row>59</xdr:row>
      <xdr:rowOff>29880</xdr:rowOff>
    </xdr:from>
    <xdr:to>
      <xdr:col>6</xdr:col>
      <xdr:colOff>1433012</xdr:colOff>
      <xdr:row>92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8902" y="11507505"/>
          <a:ext cx="8095660" cy="625662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7"/>
  <sheetViews>
    <sheetView tabSelected="1" zoomScaleNormal="100" workbookViewId="0">
      <selection activeCell="H28" sqref="H28"/>
    </sheetView>
  </sheetViews>
  <sheetFormatPr baseColWidth="10" defaultRowHeight="15" x14ac:dyDescent="0.25"/>
  <cols>
    <col min="1" max="1" width="5" customWidth="1"/>
    <col min="2" max="2" width="21.140625" customWidth="1"/>
    <col min="3" max="3" width="49.140625" customWidth="1"/>
    <col min="4" max="4" width="17.5703125" customWidth="1"/>
    <col min="5" max="6" width="18" customWidth="1"/>
    <col min="7" max="7" width="30" customWidth="1"/>
    <col min="8" max="8" width="20.28515625" customWidth="1"/>
    <col min="9" max="9" width="24.7109375" customWidth="1"/>
    <col min="10" max="10" width="26.85546875" customWidth="1"/>
    <col min="11" max="11" width="17.85546875" customWidth="1"/>
    <col min="16" max="16" width="25.5703125" customWidth="1"/>
    <col min="17" max="17" width="14" customWidth="1"/>
    <col min="18" max="18" width="20.28515625" customWidth="1"/>
  </cols>
  <sheetData>
    <row r="1" spans="1:18" ht="15.6" customHeight="1" x14ac:dyDescent="0.25">
      <c r="B1" s="98" t="s">
        <v>0</v>
      </c>
      <c r="C1" s="99"/>
      <c r="D1" s="99"/>
      <c r="E1" s="99"/>
      <c r="F1" s="99"/>
      <c r="G1" s="99"/>
      <c r="H1" s="99"/>
      <c r="I1" s="99"/>
      <c r="J1" s="99"/>
      <c r="K1" s="99"/>
      <c r="L1" s="100"/>
    </row>
    <row r="2" spans="1:18" ht="15" customHeight="1" thickBot="1" x14ac:dyDescent="0.3"/>
    <row r="3" spans="1:18" x14ac:dyDescent="0.25">
      <c r="B3" s="103" t="s">
        <v>1</v>
      </c>
      <c r="C3" s="73"/>
      <c r="D3" s="73"/>
      <c r="E3" s="73"/>
      <c r="F3" s="73"/>
      <c r="G3" s="73"/>
      <c r="H3" s="73"/>
      <c r="I3" s="73"/>
      <c r="J3" s="73"/>
      <c r="K3" s="73"/>
      <c r="L3" s="74"/>
    </row>
    <row r="4" spans="1:18" ht="15" customHeight="1" thickBot="1" x14ac:dyDescent="0.3">
      <c r="B4" s="75"/>
      <c r="C4" s="76"/>
      <c r="D4" s="76"/>
      <c r="E4" s="76"/>
      <c r="F4" s="76"/>
      <c r="G4" s="76"/>
      <c r="H4" s="76"/>
      <c r="I4" s="76"/>
      <c r="J4" s="76"/>
      <c r="K4" s="76"/>
      <c r="L4" s="77"/>
    </row>
    <row r="5" spans="1:18" ht="16.149999999999999" customHeight="1" thickBot="1" x14ac:dyDescent="0.3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8" ht="14.45" customHeight="1" x14ac:dyDescent="0.25">
      <c r="B6" s="72" t="s">
        <v>2</v>
      </c>
      <c r="C6" s="73"/>
      <c r="D6" s="73"/>
      <c r="E6" s="73"/>
      <c r="F6" s="74"/>
      <c r="G6" s="10"/>
      <c r="H6" s="10"/>
      <c r="I6" s="10"/>
      <c r="J6" s="10"/>
      <c r="K6" s="10"/>
      <c r="L6" s="10"/>
    </row>
    <row r="7" spans="1:18" ht="15" customHeight="1" thickBot="1" x14ac:dyDescent="0.3">
      <c r="B7" s="75"/>
      <c r="C7" s="76"/>
      <c r="D7" s="76"/>
      <c r="E7" s="76"/>
      <c r="F7" s="77"/>
      <c r="G7" s="10"/>
      <c r="H7" s="10"/>
      <c r="I7" s="10"/>
      <c r="J7" s="10"/>
      <c r="K7" s="10"/>
      <c r="L7" s="10"/>
    </row>
    <row r="8" spans="1:18" ht="15.75" customHeight="1" thickBot="1" x14ac:dyDescent="0.3"/>
    <row r="9" spans="1:18" ht="15.6" customHeight="1" x14ac:dyDescent="0.25">
      <c r="B9" s="14" t="s">
        <v>3</v>
      </c>
      <c r="C9" s="102" t="s">
        <v>4</v>
      </c>
      <c r="D9" s="79"/>
      <c r="E9" s="79"/>
      <c r="F9" s="79"/>
      <c r="G9" s="82" t="s">
        <v>77</v>
      </c>
    </row>
    <row r="10" spans="1:18" ht="15.6" customHeight="1" x14ac:dyDescent="0.25">
      <c r="B10" s="15" t="s">
        <v>5</v>
      </c>
      <c r="C10" s="7" t="s">
        <v>6</v>
      </c>
      <c r="D10" s="101" t="s">
        <v>7</v>
      </c>
      <c r="E10" s="92"/>
      <c r="F10" s="92"/>
      <c r="G10" s="83"/>
    </row>
    <row r="11" spans="1:18" ht="16.149999999999999" customHeight="1" thickBot="1" x14ac:dyDescent="0.3">
      <c r="B11" s="16" t="s">
        <v>8</v>
      </c>
      <c r="C11" s="17" t="s">
        <v>9</v>
      </c>
      <c r="D11" s="104" t="s">
        <v>10</v>
      </c>
      <c r="E11" s="105"/>
      <c r="F11" s="105"/>
      <c r="G11" s="84"/>
    </row>
    <row r="12" spans="1:18" ht="14.25" customHeight="1" thickBot="1" x14ac:dyDescent="0.3">
      <c r="A12" s="60"/>
      <c r="B12" s="61">
        <v>1</v>
      </c>
      <c r="C12" s="62">
        <v>19300</v>
      </c>
      <c r="D12" s="81">
        <v>30</v>
      </c>
      <c r="E12" s="81"/>
      <c r="F12" s="81"/>
      <c r="G12" s="45">
        <f>(C12/(C22*L$50))</f>
        <v>1.255518660897197E-4</v>
      </c>
    </row>
    <row r="13" spans="1:18" ht="15" customHeight="1" thickBot="1" x14ac:dyDescent="0.3"/>
    <row r="14" spans="1:18" ht="14.45" customHeight="1" x14ac:dyDescent="0.25">
      <c r="B14" s="72" t="s">
        <v>11</v>
      </c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4"/>
    </row>
    <row r="15" spans="1:18" ht="15" customHeight="1" thickBot="1" x14ac:dyDescent="0.3">
      <c r="B15" s="75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7"/>
    </row>
    <row r="16" spans="1:18" ht="15" customHeight="1" thickBot="1" x14ac:dyDescent="0.3"/>
    <row r="17" spans="1:22" ht="15" customHeight="1" x14ac:dyDescent="0.25">
      <c r="B17" s="14" t="s">
        <v>12</v>
      </c>
      <c r="C17" s="26" t="s">
        <v>13</v>
      </c>
      <c r="D17" s="78" t="s">
        <v>14</v>
      </c>
      <c r="E17" s="79"/>
      <c r="F17" s="79"/>
      <c r="G17" s="79"/>
      <c r="H17" s="79"/>
      <c r="I17" s="79"/>
      <c r="J17" s="80"/>
      <c r="K17" s="87" t="s">
        <v>15</v>
      </c>
      <c r="L17" s="79"/>
      <c r="M17" s="79"/>
      <c r="N17" s="79"/>
      <c r="O17" s="80"/>
      <c r="P17" s="19" t="s">
        <v>14</v>
      </c>
      <c r="Q17" s="87" t="s">
        <v>15</v>
      </c>
      <c r="R17" s="80"/>
    </row>
    <row r="18" spans="1:22" ht="15.6" customHeight="1" x14ac:dyDescent="0.25">
      <c r="B18" s="15" t="s">
        <v>3</v>
      </c>
      <c r="C18" s="4" t="s">
        <v>16</v>
      </c>
      <c r="D18" s="101" t="s">
        <v>17</v>
      </c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3"/>
      <c r="V18" s="3"/>
    </row>
    <row r="19" spans="1:22" ht="15.6" customHeight="1" x14ac:dyDescent="0.25">
      <c r="B19" s="15" t="s">
        <v>5</v>
      </c>
      <c r="C19" s="5" t="s">
        <v>18</v>
      </c>
      <c r="D19" s="91" t="s">
        <v>19</v>
      </c>
      <c r="E19" s="92"/>
      <c r="F19" s="92"/>
      <c r="G19" s="92"/>
      <c r="H19" s="93"/>
      <c r="I19" s="91" t="s">
        <v>20</v>
      </c>
      <c r="J19" s="93"/>
      <c r="K19" s="91" t="s">
        <v>21</v>
      </c>
      <c r="L19" s="92"/>
      <c r="M19" s="92"/>
      <c r="N19" s="92"/>
      <c r="O19" s="93"/>
      <c r="P19" s="91" t="s">
        <v>22</v>
      </c>
      <c r="Q19" s="92"/>
      <c r="R19" s="93"/>
    </row>
    <row r="20" spans="1:22" ht="15.6" customHeight="1" x14ac:dyDescent="0.25">
      <c r="B20" s="15" t="s">
        <v>23</v>
      </c>
      <c r="C20" s="7" t="s">
        <v>24</v>
      </c>
      <c r="D20" s="6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6" t="s">
        <v>25</v>
      </c>
      <c r="L20" s="4" t="s">
        <v>26</v>
      </c>
      <c r="M20" s="4" t="s">
        <v>27</v>
      </c>
      <c r="N20" s="4" t="s">
        <v>29</v>
      </c>
      <c r="O20" s="4" t="s">
        <v>32</v>
      </c>
      <c r="P20" s="4" t="s">
        <v>33</v>
      </c>
      <c r="Q20" s="4" t="s">
        <v>34</v>
      </c>
      <c r="R20" s="20" t="s">
        <v>35</v>
      </c>
    </row>
    <row r="21" spans="1:22" ht="16.149999999999999" customHeight="1" thickBot="1" x14ac:dyDescent="0.3">
      <c r="B21" s="15" t="s">
        <v>8</v>
      </c>
      <c r="C21" s="106" t="s">
        <v>36</v>
      </c>
      <c r="D21" s="107" t="s">
        <v>36</v>
      </c>
      <c r="E21" s="108" t="s">
        <v>36</v>
      </c>
      <c r="F21" s="108" t="s">
        <v>36</v>
      </c>
      <c r="G21" s="108" t="s">
        <v>36</v>
      </c>
      <c r="H21" s="108" t="s">
        <v>36</v>
      </c>
      <c r="I21" s="108" t="s">
        <v>36</v>
      </c>
      <c r="J21" s="108" t="s">
        <v>36</v>
      </c>
      <c r="K21" s="107" t="s">
        <v>36</v>
      </c>
      <c r="L21" s="108" t="s">
        <v>36</v>
      </c>
      <c r="M21" s="108" t="s">
        <v>36</v>
      </c>
      <c r="N21" s="108" t="s">
        <v>37</v>
      </c>
      <c r="O21" s="108" t="s">
        <v>36</v>
      </c>
      <c r="P21" s="108" t="s">
        <v>36</v>
      </c>
      <c r="Q21" s="108" t="s">
        <v>36</v>
      </c>
      <c r="R21" s="109" t="s">
        <v>36</v>
      </c>
    </row>
    <row r="22" spans="1:22" ht="15.75" customHeight="1" thickBot="1" x14ac:dyDescent="0.3">
      <c r="A22" s="110"/>
      <c r="B22" s="111">
        <v>1</v>
      </c>
      <c r="C22" s="112">
        <v>711.67282999999998</v>
      </c>
      <c r="D22" s="113">
        <v>6025.0603700000001</v>
      </c>
      <c r="E22" s="113">
        <v>749.03823999999997</v>
      </c>
      <c r="F22" s="113">
        <v>4585.4703399999999</v>
      </c>
      <c r="G22" s="113">
        <v>259.37213000000003</v>
      </c>
      <c r="H22" s="113">
        <v>431.17952000000002</v>
      </c>
      <c r="I22" s="114">
        <v>0</v>
      </c>
      <c r="J22" s="114">
        <v>0</v>
      </c>
      <c r="K22" s="115">
        <v>5338.65092</v>
      </c>
      <c r="L22" s="115">
        <v>38.11056</v>
      </c>
      <c r="M22" s="115">
        <v>4585.3703599999999</v>
      </c>
      <c r="N22" s="115">
        <v>646.53053999999997</v>
      </c>
      <c r="O22" s="116">
        <v>4.1799999999999997E-3</v>
      </c>
      <c r="P22" s="117">
        <v>200</v>
      </c>
      <c r="Q22" s="118">
        <v>170</v>
      </c>
      <c r="R22" s="119">
        <v>0.89361000000000002</v>
      </c>
    </row>
    <row r="24" spans="1:22" ht="15" customHeight="1" thickBot="1" x14ac:dyDescent="0.3"/>
    <row r="25" spans="1:22" ht="14.45" customHeight="1" x14ac:dyDescent="0.25">
      <c r="B25" s="72" t="s">
        <v>38</v>
      </c>
      <c r="C25" s="73"/>
      <c r="D25" s="74"/>
      <c r="E25" s="10"/>
      <c r="F25" s="10"/>
      <c r="G25" s="10"/>
      <c r="H25" s="10"/>
      <c r="I25" s="10"/>
      <c r="J25" s="10"/>
      <c r="K25" s="10"/>
      <c r="L25" s="10"/>
    </row>
    <row r="26" spans="1:22" ht="15" customHeight="1" thickBot="1" x14ac:dyDescent="0.3">
      <c r="B26" s="75"/>
      <c r="C26" s="76"/>
      <c r="D26" s="77"/>
      <c r="E26" s="10"/>
      <c r="F26" s="10"/>
      <c r="G26" s="10"/>
      <c r="H26" s="10"/>
      <c r="I26" s="10"/>
      <c r="J26" s="10"/>
      <c r="K26" s="10"/>
      <c r="L26" s="10"/>
    </row>
    <row r="27" spans="1:22" ht="15.75" customHeight="1" thickBot="1" x14ac:dyDescent="0.3">
      <c r="C27" s="2"/>
      <c r="D27" s="2"/>
    </row>
    <row r="28" spans="1:22" ht="15.6" customHeight="1" x14ac:dyDescent="0.25">
      <c r="B28" s="14" t="s">
        <v>12</v>
      </c>
      <c r="C28" s="78" t="s">
        <v>14</v>
      </c>
      <c r="D28" s="80"/>
      <c r="E28" s="3"/>
      <c r="F28" s="3"/>
      <c r="G28" s="3"/>
      <c r="H28" s="3"/>
      <c r="I28" s="3"/>
    </row>
    <row r="29" spans="1:22" ht="15.6" customHeight="1" x14ac:dyDescent="0.25">
      <c r="B29" s="15" t="s">
        <v>3</v>
      </c>
      <c r="C29" s="5" t="s">
        <v>39</v>
      </c>
      <c r="D29" s="22" t="s">
        <v>40</v>
      </c>
    </row>
    <row r="30" spans="1:22" ht="15.6" customHeight="1" x14ac:dyDescent="0.25">
      <c r="B30" s="15" t="s">
        <v>23</v>
      </c>
      <c r="C30" s="94" t="s">
        <v>41</v>
      </c>
      <c r="D30" s="93"/>
    </row>
    <row r="31" spans="1:22" ht="16.149999999999999" customHeight="1" thickBot="1" x14ac:dyDescent="0.3">
      <c r="B31" s="16" t="s">
        <v>8</v>
      </c>
      <c r="C31" s="17" t="s">
        <v>36</v>
      </c>
      <c r="D31" s="23" t="s">
        <v>36</v>
      </c>
    </row>
    <row r="32" spans="1:22" ht="14.45" customHeight="1" thickBot="1" x14ac:dyDescent="0.3">
      <c r="A32" s="60"/>
      <c r="B32" s="61">
        <v>1</v>
      </c>
      <c r="C32" s="63">
        <v>84948.6</v>
      </c>
      <c r="D32" s="64">
        <v>39307.930289999997</v>
      </c>
    </row>
    <row r="33" spans="1:16" ht="15" customHeight="1" thickBot="1" x14ac:dyDescent="0.3"/>
    <row r="34" spans="1:16" ht="14.45" customHeight="1" x14ac:dyDescent="0.25">
      <c r="B34" s="90" t="s">
        <v>42</v>
      </c>
      <c r="C34" s="73"/>
      <c r="D34" s="73"/>
      <c r="E34" s="74"/>
      <c r="F34" s="9"/>
      <c r="G34" s="9"/>
      <c r="H34" s="9"/>
      <c r="I34" s="9"/>
      <c r="J34" s="9"/>
      <c r="K34" s="9"/>
      <c r="L34" s="9"/>
    </row>
    <row r="35" spans="1:16" ht="15" customHeight="1" thickBot="1" x14ac:dyDescent="0.3">
      <c r="B35" s="75"/>
      <c r="C35" s="76"/>
      <c r="D35" s="76"/>
      <c r="E35" s="77"/>
      <c r="F35" s="9"/>
      <c r="G35" s="9"/>
      <c r="H35" s="9"/>
      <c r="I35" s="9"/>
      <c r="J35" s="9"/>
      <c r="K35" s="9"/>
      <c r="L35" s="9"/>
    </row>
    <row r="36" spans="1:16" ht="15.75" customHeight="1" thickBot="1" x14ac:dyDescent="0.3"/>
    <row r="37" spans="1:16" ht="15.6" customHeight="1" x14ac:dyDescent="0.25">
      <c r="B37" s="14" t="s">
        <v>12</v>
      </c>
      <c r="C37" s="95" t="s">
        <v>14</v>
      </c>
      <c r="D37" s="96"/>
      <c r="E37" s="97"/>
    </row>
    <row r="38" spans="1:16" ht="15.6" customHeight="1" x14ac:dyDescent="0.25">
      <c r="B38" s="15" t="s">
        <v>3</v>
      </c>
      <c r="C38" s="47" t="s">
        <v>43</v>
      </c>
      <c r="D38" s="27" t="s">
        <v>44</v>
      </c>
      <c r="E38" s="28" t="s">
        <v>45</v>
      </c>
      <c r="F38" s="50" t="s">
        <v>43</v>
      </c>
      <c r="G38" s="50" t="s">
        <v>47</v>
      </c>
    </row>
    <row r="39" spans="1:16" ht="15.6" customHeight="1" x14ac:dyDescent="0.25">
      <c r="B39" s="15" t="s">
        <v>23</v>
      </c>
      <c r="C39" s="48" t="s">
        <v>46</v>
      </c>
      <c r="D39" s="6" t="s">
        <v>47</v>
      </c>
      <c r="E39" s="20" t="s">
        <v>48</v>
      </c>
      <c r="F39" s="12" t="s">
        <v>46</v>
      </c>
    </row>
    <row r="40" spans="1:16" ht="16.149999999999999" customHeight="1" thickBot="1" x14ac:dyDescent="0.3">
      <c r="B40" s="16" t="s">
        <v>8</v>
      </c>
      <c r="C40" s="49" t="s">
        <v>49</v>
      </c>
      <c r="D40" s="18" t="s">
        <v>50</v>
      </c>
      <c r="E40" s="21" t="s">
        <v>50</v>
      </c>
      <c r="F40" s="12" t="s">
        <v>79</v>
      </c>
      <c r="G40" s="12" t="s">
        <v>78</v>
      </c>
    </row>
    <row r="41" spans="1:16" ht="15.75" customHeight="1" thickBot="1" x14ac:dyDescent="0.3">
      <c r="A41" s="60"/>
      <c r="B41" s="66">
        <v>1</v>
      </c>
      <c r="C41" s="63">
        <v>3993.40751</v>
      </c>
      <c r="D41" s="65">
        <v>5.4234</v>
      </c>
      <c r="E41" s="67">
        <v>0.90390000000000004</v>
      </c>
      <c r="F41" s="25">
        <f>C41*C22*0.001*(1/3.6)</f>
        <v>789.44433999582043</v>
      </c>
      <c r="G41" s="51">
        <f>D41/(C22*0.001/3600)</f>
        <v>27434.291681473915</v>
      </c>
    </row>
    <row r="42" spans="1:16" ht="15" customHeight="1" thickBot="1" x14ac:dyDescent="0.3"/>
    <row r="43" spans="1:16" ht="14.45" customHeight="1" x14ac:dyDescent="0.25">
      <c r="B43" s="90" t="s">
        <v>51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4"/>
    </row>
    <row r="44" spans="1:16" ht="15" customHeight="1" thickBot="1" x14ac:dyDescent="0.3">
      <c r="B44" s="75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7"/>
    </row>
    <row r="45" spans="1:16" ht="15" customHeight="1" x14ac:dyDescent="0.25"/>
    <row r="46" spans="1:16" ht="15" customHeight="1" x14ac:dyDescent="0.25">
      <c r="B46" s="8" t="s">
        <v>52</v>
      </c>
    </row>
    <row r="47" spans="1:16" ht="15" customHeight="1" thickBot="1" x14ac:dyDescent="0.3"/>
    <row r="48" spans="1:16" ht="30" customHeight="1" x14ac:dyDescent="0.25">
      <c r="B48" s="54"/>
      <c r="C48" s="55" t="s">
        <v>85</v>
      </c>
      <c r="D48" s="55" t="s">
        <v>82</v>
      </c>
      <c r="E48" s="55" t="s">
        <v>86</v>
      </c>
      <c r="F48" s="55" t="s">
        <v>83</v>
      </c>
      <c r="G48" s="56" t="s">
        <v>84</v>
      </c>
      <c r="I48" s="29" t="s">
        <v>66</v>
      </c>
      <c r="J48" s="30"/>
      <c r="K48" s="31" t="s">
        <v>67</v>
      </c>
      <c r="L48" s="32">
        <v>30</v>
      </c>
    </row>
    <row r="49" spans="1:16" ht="15" customHeight="1" x14ac:dyDescent="0.25">
      <c r="B49" s="57" t="s">
        <v>53</v>
      </c>
      <c r="C49">
        <v>6</v>
      </c>
      <c r="D49">
        <v>1</v>
      </c>
      <c r="E49">
        <v>1</v>
      </c>
      <c r="F49">
        <v>1</v>
      </c>
      <c r="G49" s="58">
        <v>2</v>
      </c>
      <c r="I49" s="33" t="s">
        <v>68</v>
      </c>
      <c r="J49" s="13"/>
      <c r="K49" s="34" t="s">
        <v>69</v>
      </c>
      <c r="L49" s="35">
        <v>7200</v>
      </c>
    </row>
    <row r="50" spans="1:16" ht="15" customHeight="1" thickBot="1" x14ac:dyDescent="0.3">
      <c r="B50" s="59" t="s">
        <v>8</v>
      </c>
      <c r="C50" s="52" t="s">
        <v>54</v>
      </c>
      <c r="D50" s="52" t="s">
        <v>54</v>
      </c>
      <c r="E50" s="52" t="s">
        <v>54</v>
      </c>
      <c r="F50" s="52" t="s">
        <v>54</v>
      </c>
      <c r="G50" s="53" t="s">
        <v>54</v>
      </c>
      <c r="H50" s="40"/>
      <c r="I50" s="33" t="s">
        <v>70</v>
      </c>
      <c r="J50" s="13"/>
      <c r="K50" s="34" t="s">
        <v>71</v>
      </c>
      <c r="L50" s="35">
        <f>L48*L49</f>
        <v>216000</v>
      </c>
    </row>
    <row r="51" spans="1:16" ht="15" customHeight="1" x14ac:dyDescent="0.25">
      <c r="C51" s="2"/>
      <c r="I51" s="33" t="s">
        <v>72</v>
      </c>
      <c r="J51" s="13"/>
      <c r="K51" s="34" t="s">
        <v>73</v>
      </c>
      <c r="L51" s="35">
        <v>1000</v>
      </c>
    </row>
    <row r="52" spans="1:16" ht="15" customHeight="1" thickBot="1" x14ac:dyDescent="0.3">
      <c r="C52" s="2"/>
      <c r="H52" s="40"/>
      <c r="I52" s="36" t="s">
        <v>74</v>
      </c>
      <c r="J52" s="37"/>
      <c r="K52" s="38" t="s">
        <v>75</v>
      </c>
      <c r="L52" s="39">
        <f>1/(L50*L51)</f>
        <v>4.6296296296296295E-9</v>
      </c>
    </row>
    <row r="53" spans="1:16" ht="15" customHeight="1" thickBot="1" x14ac:dyDescent="0.3">
      <c r="C53" s="2"/>
      <c r="I53" s="11"/>
    </row>
    <row r="54" spans="1:16" ht="15.6" customHeight="1" x14ac:dyDescent="0.25">
      <c r="B54" s="14" t="s">
        <v>23</v>
      </c>
      <c r="C54" s="41" t="s">
        <v>55</v>
      </c>
      <c r="D54" s="88" t="s">
        <v>56</v>
      </c>
      <c r="E54" s="80"/>
      <c r="F54" s="88" t="s">
        <v>57</v>
      </c>
      <c r="G54" s="89"/>
      <c r="H54" s="44"/>
    </row>
    <row r="55" spans="1:16" ht="15.6" customHeight="1" thickBot="1" x14ac:dyDescent="0.3">
      <c r="B55" s="15" t="s">
        <v>58</v>
      </c>
      <c r="C55" s="42" t="s">
        <v>59</v>
      </c>
      <c r="D55" s="13" t="s">
        <v>60</v>
      </c>
      <c r="E55" s="13" t="s">
        <v>61</v>
      </c>
      <c r="F55" s="13" t="s">
        <v>60</v>
      </c>
      <c r="G55" s="20" t="s">
        <v>61</v>
      </c>
      <c r="H55" s="44"/>
      <c r="L55" s="8"/>
    </row>
    <row r="56" spans="1:16" ht="16.149999999999999" customHeight="1" thickBot="1" x14ac:dyDescent="0.3">
      <c r="B56" s="16" t="s">
        <v>8</v>
      </c>
      <c r="C56" s="43" t="s">
        <v>44</v>
      </c>
      <c r="D56" s="24" t="s">
        <v>62</v>
      </c>
      <c r="E56" s="24" t="s">
        <v>62</v>
      </c>
      <c r="F56" s="24" t="s">
        <v>62</v>
      </c>
      <c r="G56" s="23" t="s">
        <v>62</v>
      </c>
      <c r="H56" s="2"/>
      <c r="I56" s="45" t="s">
        <v>76</v>
      </c>
      <c r="J56" s="46" t="s">
        <v>74</v>
      </c>
      <c r="L56" s="2"/>
      <c r="M56" s="85"/>
      <c r="N56" s="86"/>
      <c r="O56" s="85"/>
      <c r="P56" s="86"/>
    </row>
    <row r="57" spans="1:16" ht="15.75" customHeight="1" thickBot="1" x14ac:dyDescent="0.3">
      <c r="A57" s="60"/>
      <c r="B57" s="66">
        <v>1</v>
      </c>
      <c r="C57" s="68" t="s">
        <v>63</v>
      </c>
      <c r="D57" s="69" t="s">
        <v>64</v>
      </c>
      <c r="E57" s="70" t="s">
        <v>80</v>
      </c>
      <c r="F57" s="69" t="s">
        <v>65</v>
      </c>
      <c r="G57" s="71" t="s">
        <v>81</v>
      </c>
      <c r="I57" s="45">
        <v>1</v>
      </c>
      <c r="J57" s="45">
        <f>(1/(C22*L$50))</f>
        <v>6.505278035736772E-9</v>
      </c>
    </row>
  </sheetData>
  <mergeCells count="27">
    <mergeCell ref="B1:L1"/>
    <mergeCell ref="B43:P44"/>
    <mergeCell ref="D10:F10"/>
    <mergeCell ref="C28:D28"/>
    <mergeCell ref="C9:F9"/>
    <mergeCell ref="B25:D26"/>
    <mergeCell ref="B3:L4"/>
    <mergeCell ref="B14:R15"/>
    <mergeCell ref="K19:O19"/>
    <mergeCell ref="D18:R18"/>
    <mergeCell ref="Q17:R17"/>
    <mergeCell ref="D11:F11"/>
    <mergeCell ref="O56:P56"/>
    <mergeCell ref="K17:O17"/>
    <mergeCell ref="D54:E54"/>
    <mergeCell ref="F54:G54"/>
    <mergeCell ref="B34:E35"/>
    <mergeCell ref="P19:R19"/>
    <mergeCell ref="C30:D30"/>
    <mergeCell ref="C37:E37"/>
    <mergeCell ref="I19:J19"/>
    <mergeCell ref="D19:H19"/>
    <mergeCell ref="B6:F7"/>
    <mergeCell ref="D17:J17"/>
    <mergeCell ref="D12:F12"/>
    <mergeCell ref="G9:G11"/>
    <mergeCell ref="M56:N56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Scenario_1_base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Küng</dc:creator>
  <cp:lastModifiedBy>Küng, Jonas</cp:lastModifiedBy>
  <dcterms:created xsi:type="dcterms:W3CDTF">2024-05-15T11:00:13Z</dcterms:created>
  <dcterms:modified xsi:type="dcterms:W3CDTF">2025-08-14T10:21:52Z</dcterms:modified>
</cp:coreProperties>
</file>